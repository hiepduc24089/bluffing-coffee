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00"/>
  </bookViews>
  <sheets>
    <sheet name="Vật dụng" sheetId="2" r:id="rId1"/>
  </sheets>
  <calcPr calcId="144525"/>
</workbook>
</file>

<file path=xl/sharedStrings.xml><?xml version="1.0" encoding="utf-8"?>
<sst xmlns="http://schemas.openxmlformats.org/spreadsheetml/2006/main" count="132" uniqueCount="60">
  <si>
    <t>Loại</t>
  </si>
  <si>
    <t>Item</t>
  </si>
  <si>
    <t>Link mua</t>
  </si>
  <si>
    <t>Đơn vị</t>
  </si>
  <si>
    <t>Giá Estimate</t>
  </si>
  <si>
    <t>Tổng Estimate</t>
  </si>
  <si>
    <t>Giá thực tế</t>
  </si>
  <si>
    <t>Note</t>
  </si>
  <si>
    <t>Member</t>
  </si>
  <si>
    <t>Checklist</t>
  </si>
  <si>
    <t>Đồ poker</t>
  </si>
  <si>
    <t>Bàn poker</t>
  </si>
  <si>
    <t>10 seat cả dealer</t>
  </si>
  <si>
    <t>Online</t>
  </si>
  <si>
    <t>To do</t>
  </si>
  <si>
    <t>Chip poker</t>
  </si>
  <si>
    <r>
      <rPr>
        <u/>
        <sz val="10"/>
        <color rgb="FF1155CC"/>
        <rFont val="宋体"/>
        <charset val="134"/>
      </rPr>
      <t>https://vn.shp.ee/MER3pzF6
https://www.facebook.com/phinhpoker.hanoi.giare/photos</t>
    </r>
    <r>
      <rPr>
        <sz val="10"/>
        <color rgb="FF1F1F1F"/>
        <rFont val="宋体"/>
        <charset val="134"/>
      </rPr>
      <t xml:space="preserve"> </t>
    </r>
  </si>
  <si>
    <t>Mệnh giá 100, 500, 1000, 5000, 25000</t>
  </si>
  <si>
    <t>Bài poker</t>
  </si>
  <si>
    <t>https://vn.shp.ee/MER3pzF6</t>
  </si>
  <si>
    <t>Ghế</t>
  </si>
  <si>
    <t>Máy bấm giờ cho dealer (iphone/ ipad)</t>
  </si>
  <si>
    <t>Long Bi</t>
  </si>
  <si>
    <t xml:space="preserve">Tivi </t>
  </si>
  <si>
    <t>(đếm giờ, hiển thị blind)</t>
  </si>
  <si>
    <t>Both</t>
  </si>
  <si>
    <t>Tủ lạnh (có ngăn đá)</t>
  </si>
  <si>
    <t>thanh lý</t>
  </si>
  <si>
    <t>Phin Cafe</t>
  </si>
  <si>
    <t>Hiệp Đức</t>
  </si>
  <si>
    <t>Lò vi sóng</t>
  </si>
  <si>
    <t>Tổng kho</t>
  </si>
  <si>
    <t>Khay</t>
  </si>
  <si>
    <t>Cốc giấy</t>
  </si>
  <si>
    <t>Muỗng khuấy</t>
  </si>
  <si>
    <t>Bình lắc (shaker)</t>
  </si>
  <si>
    <t>Ca đong (jigger)</t>
  </si>
  <si>
    <t>Bếp điện / bếp từ</t>
  </si>
  <si>
    <t>Dao, thớt, khay</t>
  </si>
  <si>
    <t>cái này chỉ cần lấy ít không cần nhiều</t>
  </si>
  <si>
    <t>Máy ép hoa quả</t>
  </si>
  <si>
    <t>Bình ủ trà</t>
  </si>
  <si>
    <t>Bình siêu tốc</t>
  </si>
  <si>
    <t>Bán hàng</t>
  </si>
  <si>
    <t>Máy POS / phần mềm bán hàng</t>
  </si>
  <si>
    <t>Máy in bill</t>
  </si>
  <si>
    <t>Két tiền</t>
  </si>
  <si>
    <t>Vệ sinh</t>
  </si>
  <si>
    <t>Khăn lau bàn</t>
  </si>
  <si>
    <t>Nước rửa bát</t>
  </si>
  <si>
    <t>Thùng rác</t>
  </si>
  <si>
    <t>Nước dọn vệ sinh</t>
  </si>
  <si>
    <t>Nước rửa tay</t>
  </si>
  <si>
    <t>Giấy vệ sinh</t>
  </si>
  <si>
    <t>An ninh</t>
  </si>
  <si>
    <t>Wifi</t>
  </si>
  <si>
    <t>Camera</t>
  </si>
  <si>
    <t>Để xem mặt bằng</t>
  </si>
  <si>
    <t>Điều hoà</t>
  </si>
  <si>
    <t>Quạt</t>
  </si>
</sst>
</file>

<file path=xl/styles.xml><?xml version="1.0" encoding="utf-8"?>
<styleSheet xmlns="http://schemas.openxmlformats.org/spreadsheetml/2006/main">
  <numFmts count="5">
    <numFmt numFmtId="176" formatCode="_-* #,##0\ [$đ-42A]_-;\-* #,##0\ [$đ-42A]_-;_-* &quot;-&quot;??\ [$đ-42A]_-;_-@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_ ;_ * \-#,##0_ ;_ * &quot;-&quot;_ ;_ @_ "/>
  </numFmts>
  <fonts count="29">
    <font>
      <sz val="10"/>
      <color rgb="FF000000"/>
      <name val="Arial"/>
      <charset val="134"/>
      <scheme val="minor"/>
    </font>
    <font>
      <b/>
      <sz val="11"/>
      <color theme="1"/>
      <name val="Roboto"/>
      <charset val="134"/>
    </font>
    <font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Roboto"/>
      <charset val="134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3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5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006100"/>
      <name val="Arial"/>
      <charset val="0"/>
      <scheme val="minor"/>
    </font>
    <font>
      <u/>
      <sz val="10"/>
      <color rgb="FF1155CC"/>
      <name val="宋体"/>
      <charset val="134"/>
    </font>
    <font>
      <sz val="10"/>
      <color rgb="FF1F1F1F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8" fillId="3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2" fillId="13" borderId="9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17" borderId="10" applyNumberFormat="0" applyFont="0" applyAlignment="0" applyProtection="0">
      <alignment vertical="center"/>
    </xf>
    <xf numFmtId="0" fontId="21" fillId="14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0" fontId="25" fillId="27" borderId="12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3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/>
    <xf numFmtId="0" fontId="3" fillId="0" borderId="4" xfId="0" applyFont="1" applyBorder="1"/>
    <xf numFmtId="0" fontId="2" fillId="0" borderId="2" xfId="0" applyFont="1" applyBorder="1" applyAlignment="1">
      <alignment horizontal="center" vertical="center"/>
    </xf>
    <xf numFmtId="176" fontId="5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horizontal="center"/>
    </xf>
    <xf numFmtId="176" fontId="2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n.shp.ee/MER3pzF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33"/>
  <sheetViews>
    <sheetView tabSelected="1" workbookViewId="0">
      <selection activeCell="A1" sqref="A1"/>
    </sheetView>
  </sheetViews>
  <sheetFormatPr defaultColWidth="12.6333333333333" defaultRowHeight="15.75" customHeight="1"/>
  <cols>
    <col min="1" max="1" width="30.6333333333333" customWidth="1"/>
    <col min="2" max="2" width="33.25" customWidth="1"/>
    <col min="3" max="3" width="27.75" customWidth="1"/>
    <col min="7" max="7" width="15.5" customWidth="1"/>
    <col min="8" max="8" width="33.25" customWidth="1"/>
    <col min="9" max="9" width="16.6333333333333" customWidth="1"/>
    <col min="10" max="10" width="12.5" customWidth="1"/>
  </cols>
  <sheetData>
    <row r="1" ht="30.75" customHeight="1" spans="1:10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6.5" spans="1:10">
      <c r="A2" s="4" t="s">
        <v>10</v>
      </c>
      <c r="B2" s="5" t="s">
        <v>11</v>
      </c>
      <c r="C2" s="6"/>
      <c r="D2" s="7">
        <v>3</v>
      </c>
      <c r="E2" s="13">
        <v>12000000</v>
      </c>
      <c r="F2" s="13">
        <f t="shared" ref="F2:F17" si="0">E2*D2</f>
        <v>36000000</v>
      </c>
      <c r="G2" s="14"/>
      <c r="H2" s="5" t="s">
        <v>12</v>
      </c>
      <c r="I2" s="16" t="s">
        <v>13</v>
      </c>
      <c r="J2" s="16" t="s">
        <v>14</v>
      </c>
    </row>
    <row r="3" ht="66" spans="1:10">
      <c r="A3" s="8"/>
      <c r="B3" s="5" t="s">
        <v>15</v>
      </c>
      <c r="C3" s="9" t="s">
        <v>16</v>
      </c>
      <c r="D3" s="7"/>
      <c r="E3" s="13"/>
      <c r="F3" s="13">
        <f t="shared" si="0"/>
        <v>0</v>
      </c>
      <c r="G3" s="14"/>
      <c r="H3" s="5" t="s">
        <v>17</v>
      </c>
      <c r="I3" s="16" t="s">
        <v>13</v>
      </c>
      <c r="J3" s="16" t="s">
        <v>14</v>
      </c>
    </row>
    <row r="4" ht="16.5" spans="1:10">
      <c r="A4" s="8"/>
      <c r="B4" s="5" t="s">
        <v>18</v>
      </c>
      <c r="C4" s="10" t="s">
        <v>19</v>
      </c>
      <c r="D4" s="7">
        <v>10</v>
      </c>
      <c r="E4" s="13">
        <v>50000</v>
      </c>
      <c r="F4" s="13">
        <f t="shared" si="0"/>
        <v>500000</v>
      </c>
      <c r="G4" s="14"/>
      <c r="H4" s="6"/>
      <c r="I4" s="16" t="s">
        <v>13</v>
      </c>
      <c r="J4" s="16" t="s">
        <v>14</v>
      </c>
    </row>
    <row r="5" ht="16.5" spans="1:10">
      <c r="A5" s="8"/>
      <c r="B5" s="5" t="s">
        <v>20</v>
      </c>
      <c r="C5" s="6"/>
      <c r="D5" s="7">
        <v>33</v>
      </c>
      <c r="E5" s="13">
        <v>200000</v>
      </c>
      <c r="F5" s="13">
        <f t="shared" si="0"/>
        <v>6600000</v>
      </c>
      <c r="G5" s="14"/>
      <c r="H5" s="6"/>
      <c r="I5" s="16" t="s">
        <v>13</v>
      </c>
      <c r="J5" s="16" t="s">
        <v>14</v>
      </c>
    </row>
    <row r="6" ht="16.5" spans="1:10">
      <c r="A6" s="8"/>
      <c r="B6" s="5" t="s">
        <v>21</v>
      </c>
      <c r="C6" s="6"/>
      <c r="D6" s="7"/>
      <c r="E6" s="13"/>
      <c r="F6" s="13">
        <f t="shared" si="0"/>
        <v>0</v>
      </c>
      <c r="G6" s="14"/>
      <c r="H6" s="6"/>
      <c r="I6" s="16" t="s">
        <v>22</v>
      </c>
      <c r="J6" s="16" t="s">
        <v>14</v>
      </c>
    </row>
    <row r="7" ht="16.5" spans="1:10">
      <c r="A7" s="11"/>
      <c r="B7" s="5" t="s">
        <v>23</v>
      </c>
      <c r="C7" s="6"/>
      <c r="D7" s="7">
        <v>1</v>
      </c>
      <c r="E7" s="13">
        <v>2000000</v>
      </c>
      <c r="F7" s="13">
        <f t="shared" si="0"/>
        <v>2000000</v>
      </c>
      <c r="G7" s="14"/>
      <c r="H7" s="5" t="s">
        <v>24</v>
      </c>
      <c r="I7" s="16" t="s">
        <v>25</v>
      </c>
      <c r="J7" s="16" t="s">
        <v>14</v>
      </c>
    </row>
    <row r="8" ht="16.5" spans="1:10">
      <c r="A8" s="4"/>
      <c r="B8" s="5" t="s">
        <v>26</v>
      </c>
      <c r="C8" s="6"/>
      <c r="D8" s="7">
        <v>1</v>
      </c>
      <c r="E8" s="13">
        <v>3000000</v>
      </c>
      <c r="F8" s="13">
        <f t="shared" si="0"/>
        <v>3000000</v>
      </c>
      <c r="G8" s="14"/>
      <c r="H8" s="5" t="s">
        <v>27</v>
      </c>
      <c r="I8" s="16" t="s">
        <v>25</v>
      </c>
      <c r="J8" s="16" t="s">
        <v>14</v>
      </c>
    </row>
    <row r="9" ht="16.5" spans="1:10">
      <c r="A9" s="8"/>
      <c r="B9" s="5" t="s">
        <v>28</v>
      </c>
      <c r="C9" s="6"/>
      <c r="D9" s="7">
        <v>5</v>
      </c>
      <c r="E9" s="13">
        <v>30000</v>
      </c>
      <c r="F9" s="13">
        <f t="shared" si="0"/>
        <v>150000</v>
      </c>
      <c r="G9" s="14"/>
      <c r="H9" s="5"/>
      <c r="I9" s="16" t="s">
        <v>29</v>
      </c>
      <c r="J9" s="16" t="s">
        <v>14</v>
      </c>
    </row>
    <row r="10" ht="16.5" spans="1:10">
      <c r="A10" s="8"/>
      <c r="B10" s="5" t="s">
        <v>30</v>
      </c>
      <c r="C10" s="6"/>
      <c r="D10" s="7">
        <v>1</v>
      </c>
      <c r="E10" s="13">
        <v>1500000</v>
      </c>
      <c r="F10" s="13">
        <f t="shared" si="0"/>
        <v>1500000</v>
      </c>
      <c r="G10" s="14"/>
      <c r="H10" s="5" t="s">
        <v>31</v>
      </c>
      <c r="I10" s="16" t="s">
        <v>25</v>
      </c>
      <c r="J10" s="16" t="s">
        <v>14</v>
      </c>
    </row>
    <row r="11" ht="16.5" spans="1:10">
      <c r="A11" s="8"/>
      <c r="B11" s="5" t="s">
        <v>32</v>
      </c>
      <c r="C11" s="6"/>
      <c r="D11" s="7">
        <v>3</v>
      </c>
      <c r="E11" s="13">
        <v>30000</v>
      </c>
      <c r="F11" s="13">
        <f t="shared" si="0"/>
        <v>90000</v>
      </c>
      <c r="G11" s="14"/>
      <c r="H11" s="5" t="s">
        <v>33</v>
      </c>
      <c r="I11" s="16" t="s">
        <v>29</v>
      </c>
      <c r="J11" s="16" t="s">
        <v>14</v>
      </c>
    </row>
    <row r="12" ht="16.5" spans="1:10">
      <c r="A12" s="8"/>
      <c r="B12" s="5" t="s">
        <v>34</v>
      </c>
      <c r="C12" s="6"/>
      <c r="D12" s="7">
        <v>5</v>
      </c>
      <c r="E12" s="13">
        <v>10000</v>
      </c>
      <c r="F12" s="13">
        <f t="shared" si="0"/>
        <v>50000</v>
      </c>
      <c r="G12" s="14"/>
      <c r="H12" s="5"/>
      <c r="I12" s="16" t="s">
        <v>29</v>
      </c>
      <c r="J12" s="16" t="s">
        <v>14</v>
      </c>
    </row>
    <row r="13" ht="16.5" spans="1:10">
      <c r="A13" s="8"/>
      <c r="B13" s="5" t="s">
        <v>35</v>
      </c>
      <c r="C13" s="6"/>
      <c r="D13" s="7">
        <v>1</v>
      </c>
      <c r="E13" s="13">
        <v>200000</v>
      </c>
      <c r="F13" s="13">
        <f t="shared" si="0"/>
        <v>200000</v>
      </c>
      <c r="G13" s="14"/>
      <c r="H13" s="5" t="s">
        <v>27</v>
      </c>
      <c r="I13" s="16" t="s">
        <v>29</v>
      </c>
      <c r="J13" s="16" t="s">
        <v>14</v>
      </c>
    </row>
    <row r="14" ht="16.5" spans="1:10">
      <c r="A14" s="8"/>
      <c r="B14" s="5" t="s">
        <v>36</v>
      </c>
      <c r="C14" s="6"/>
      <c r="D14" s="7">
        <v>1</v>
      </c>
      <c r="E14" s="13">
        <v>100000</v>
      </c>
      <c r="F14" s="13">
        <f t="shared" si="0"/>
        <v>100000</v>
      </c>
      <c r="G14" s="14"/>
      <c r="H14" s="5" t="s">
        <v>27</v>
      </c>
      <c r="I14" s="16" t="s">
        <v>29</v>
      </c>
      <c r="J14" s="16" t="s">
        <v>14</v>
      </c>
    </row>
    <row r="15" ht="16.5" spans="1:10">
      <c r="A15" s="8"/>
      <c r="B15" s="5" t="s">
        <v>37</v>
      </c>
      <c r="C15" s="6"/>
      <c r="D15" s="7">
        <v>1</v>
      </c>
      <c r="E15" s="13">
        <v>2500000</v>
      </c>
      <c r="F15" s="13">
        <f t="shared" si="0"/>
        <v>2500000</v>
      </c>
      <c r="G15" s="14"/>
      <c r="H15" s="5" t="s">
        <v>27</v>
      </c>
      <c r="I15" s="16" t="s">
        <v>25</v>
      </c>
      <c r="J15" s="16" t="s">
        <v>14</v>
      </c>
    </row>
    <row r="16" ht="16.5" spans="1:10">
      <c r="A16" s="8"/>
      <c r="B16" s="5" t="s">
        <v>38</v>
      </c>
      <c r="C16" s="6"/>
      <c r="D16" s="7">
        <v>1</v>
      </c>
      <c r="E16" s="13">
        <v>200000</v>
      </c>
      <c r="F16" s="13">
        <f t="shared" si="0"/>
        <v>200000</v>
      </c>
      <c r="G16" s="14"/>
      <c r="H16" s="5" t="s">
        <v>39</v>
      </c>
      <c r="I16" s="16" t="s">
        <v>29</v>
      </c>
      <c r="J16" s="16" t="s">
        <v>14</v>
      </c>
    </row>
    <row r="17" ht="16.5" spans="1:10">
      <c r="A17" s="8"/>
      <c r="B17" s="5" t="s">
        <v>40</v>
      </c>
      <c r="C17" s="6"/>
      <c r="D17" s="7">
        <v>1</v>
      </c>
      <c r="E17" s="13">
        <v>2000000</v>
      </c>
      <c r="F17" s="13">
        <f t="shared" si="0"/>
        <v>2000000</v>
      </c>
      <c r="G17" s="14"/>
      <c r="H17" s="5" t="s">
        <v>27</v>
      </c>
      <c r="I17" s="16" t="s">
        <v>29</v>
      </c>
      <c r="J17" s="16" t="s">
        <v>14</v>
      </c>
    </row>
    <row r="18" ht="16.5" spans="1:10">
      <c r="A18" s="8"/>
      <c r="B18" s="5" t="s">
        <v>41</v>
      </c>
      <c r="C18" s="6"/>
      <c r="D18" s="7">
        <v>1</v>
      </c>
      <c r="E18" s="13">
        <v>500000</v>
      </c>
      <c r="F18" s="13">
        <v>500000</v>
      </c>
      <c r="G18" s="14"/>
      <c r="H18" s="5"/>
      <c r="I18" s="16" t="s">
        <v>29</v>
      </c>
      <c r="J18" s="16" t="s">
        <v>14</v>
      </c>
    </row>
    <row r="19" ht="16.5" spans="1:10">
      <c r="A19" s="11"/>
      <c r="B19" s="5" t="s">
        <v>42</v>
      </c>
      <c r="C19" s="6"/>
      <c r="D19" s="7">
        <v>1</v>
      </c>
      <c r="E19" s="13">
        <v>300000</v>
      </c>
      <c r="F19" s="13">
        <f t="shared" ref="F19:F20" si="1">E19*D19</f>
        <v>300000</v>
      </c>
      <c r="G19" s="14"/>
      <c r="H19" s="5" t="s">
        <v>27</v>
      </c>
      <c r="I19" s="16" t="s">
        <v>29</v>
      </c>
      <c r="J19" s="16" t="s">
        <v>14</v>
      </c>
    </row>
    <row r="20" ht="16.5" spans="1:10">
      <c r="A20" s="4" t="s">
        <v>43</v>
      </c>
      <c r="B20" s="5" t="s">
        <v>44</v>
      </c>
      <c r="C20" s="6"/>
      <c r="D20" s="12">
        <v>1</v>
      </c>
      <c r="E20" s="13">
        <v>5000000</v>
      </c>
      <c r="F20" s="13">
        <f t="shared" si="1"/>
        <v>5000000</v>
      </c>
      <c r="G20" s="14"/>
      <c r="H20" s="5" t="s">
        <v>27</v>
      </c>
      <c r="I20" s="16" t="s">
        <v>22</v>
      </c>
      <c r="J20" s="16" t="s">
        <v>14</v>
      </c>
    </row>
    <row r="21" ht="16.5" spans="1:10">
      <c r="A21" s="8"/>
      <c r="B21" s="5" t="s">
        <v>45</v>
      </c>
      <c r="C21" s="6"/>
      <c r="D21" s="8"/>
      <c r="E21" s="13"/>
      <c r="F21" s="13"/>
      <c r="G21" s="14"/>
      <c r="H21" s="5"/>
      <c r="I21" s="16" t="s">
        <v>22</v>
      </c>
      <c r="J21" s="16" t="s">
        <v>14</v>
      </c>
    </row>
    <row r="22" ht="16.5" spans="1:10">
      <c r="A22" s="11"/>
      <c r="B22" s="5" t="s">
        <v>46</v>
      </c>
      <c r="C22" s="6"/>
      <c r="D22" s="11"/>
      <c r="E22" s="13"/>
      <c r="F22" s="13"/>
      <c r="G22" s="14"/>
      <c r="H22" s="5"/>
      <c r="I22" s="16" t="s">
        <v>22</v>
      </c>
      <c r="J22" s="16" t="s">
        <v>14</v>
      </c>
    </row>
    <row r="23" ht="16.5" spans="1:10">
      <c r="A23" s="4" t="s">
        <v>47</v>
      </c>
      <c r="B23" s="5" t="s">
        <v>48</v>
      </c>
      <c r="C23" s="6"/>
      <c r="D23" s="7">
        <v>10</v>
      </c>
      <c r="E23" s="13">
        <v>20000</v>
      </c>
      <c r="F23" s="13">
        <f t="shared" ref="F23:F30" si="2">E23*D23</f>
        <v>200000</v>
      </c>
      <c r="G23" s="14"/>
      <c r="H23" s="5" t="s">
        <v>27</v>
      </c>
      <c r="I23" s="16" t="s">
        <v>29</v>
      </c>
      <c r="J23" s="16" t="s">
        <v>14</v>
      </c>
    </row>
    <row r="24" ht="16.5" spans="1:10">
      <c r="A24" s="8"/>
      <c r="B24" s="5" t="s">
        <v>49</v>
      </c>
      <c r="C24" s="6"/>
      <c r="D24" s="7">
        <v>2</v>
      </c>
      <c r="E24" s="13">
        <v>50000</v>
      </c>
      <c r="F24" s="13">
        <f t="shared" si="2"/>
        <v>100000</v>
      </c>
      <c r="G24" s="14"/>
      <c r="H24" s="5" t="s">
        <v>27</v>
      </c>
      <c r="I24" s="16" t="s">
        <v>29</v>
      </c>
      <c r="J24" s="16" t="s">
        <v>14</v>
      </c>
    </row>
    <row r="25" ht="16.5" spans="1:10">
      <c r="A25" s="8"/>
      <c r="B25" s="5" t="s">
        <v>50</v>
      </c>
      <c r="C25" s="6"/>
      <c r="D25" s="7">
        <v>3</v>
      </c>
      <c r="E25" s="13">
        <v>80000</v>
      </c>
      <c r="F25" s="13">
        <f t="shared" si="2"/>
        <v>240000</v>
      </c>
      <c r="G25" s="14"/>
      <c r="H25" s="5" t="s">
        <v>27</v>
      </c>
      <c r="I25" s="16" t="s">
        <v>29</v>
      </c>
      <c r="J25" s="16" t="s">
        <v>14</v>
      </c>
    </row>
    <row r="26" ht="16.5" spans="1:10">
      <c r="A26" s="8"/>
      <c r="B26" s="5" t="s">
        <v>51</v>
      </c>
      <c r="C26" s="6"/>
      <c r="D26" s="7">
        <v>2</v>
      </c>
      <c r="E26" s="13">
        <v>50000</v>
      </c>
      <c r="F26" s="13">
        <f t="shared" si="2"/>
        <v>100000</v>
      </c>
      <c r="G26" s="14"/>
      <c r="H26" s="5" t="s">
        <v>27</v>
      </c>
      <c r="I26" s="16" t="s">
        <v>29</v>
      </c>
      <c r="J26" s="16" t="s">
        <v>14</v>
      </c>
    </row>
    <row r="27" ht="16.5" spans="1:10">
      <c r="A27" s="8"/>
      <c r="B27" s="5" t="s">
        <v>52</v>
      </c>
      <c r="C27" s="6"/>
      <c r="D27" s="7">
        <v>2</v>
      </c>
      <c r="E27" s="13">
        <v>50000</v>
      </c>
      <c r="F27" s="13">
        <f t="shared" si="2"/>
        <v>100000</v>
      </c>
      <c r="G27" s="14"/>
      <c r="H27" s="5" t="s">
        <v>27</v>
      </c>
      <c r="I27" s="16" t="s">
        <v>29</v>
      </c>
      <c r="J27" s="16" t="s">
        <v>14</v>
      </c>
    </row>
    <row r="28" ht="16.5" spans="1:10">
      <c r="A28" s="11"/>
      <c r="B28" s="5" t="s">
        <v>53</v>
      </c>
      <c r="C28" s="6"/>
      <c r="D28" s="7">
        <v>1</v>
      </c>
      <c r="E28" s="13">
        <v>130000</v>
      </c>
      <c r="F28" s="13">
        <f t="shared" si="2"/>
        <v>130000</v>
      </c>
      <c r="G28" s="14"/>
      <c r="H28" s="5" t="s">
        <v>27</v>
      </c>
      <c r="I28" s="16" t="s">
        <v>29</v>
      </c>
      <c r="J28" s="16" t="s">
        <v>14</v>
      </c>
    </row>
    <row r="29" ht="16.5" spans="1:10">
      <c r="A29" s="4" t="s">
        <v>54</v>
      </c>
      <c r="B29" s="5" t="s">
        <v>55</v>
      </c>
      <c r="C29" s="6"/>
      <c r="D29" s="7">
        <v>1</v>
      </c>
      <c r="E29" s="13">
        <v>2400000</v>
      </c>
      <c r="F29" s="13">
        <f t="shared" si="2"/>
        <v>2400000</v>
      </c>
      <c r="G29" s="14"/>
      <c r="H29" s="5" t="s">
        <v>27</v>
      </c>
      <c r="I29" s="16" t="s">
        <v>22</v>
      </c>
      <c r="J29" s="16" t="s">
        <v>14</v>
      </c>
    </row>
    <row r="30" ht="16.5" spans="1:10">
      <c r="A30" s="11"/>
      <c r="B30" s="5" t="s">
        <v>56</v>
      </c>
      <c r="C30" s="6"/>
      <c r="D30" s="7">
        <v>4</v>
      </c>
      <c r="E30" s="13">
        <v>400000</v>
      </c>
      <c r="F30" s="13">
        <f t="shared" si="2"/>
        <v>1600000</v>
      </c>
      <c r="G30" s="14"/>
      <c r="H30" s="5" t="s">
        <v>57</v>
      </c>
      <c r="I30" s="16" t="s">
        <v>22</v>
      </c>
      <c r="J30" s="16" t="s">
        <v>14</v>
      </c>
    </row>
    <row r="31" ht="16.5" spans="1:10">
      <c r="A31" s="4"/>
      <c r="B31" s="5" t="s">
        <v>58</v>
      </c>
      <c r="C31" s="6"/>
      <c r="D31" s="7"/>
      <c r="E31" s="13"/>
      <c r="F31" s="13"/>
      <c r="G31" s="14"/>
      <c r="H31" s="5" t="s">
        <v>57</v>
      </c>
      <c r="I31" s="16" t="s">
        <v>25</v>
      </c>
      <c r="J31" s="16" t="s">
        <v>14</v>
      </c>
    </row>
    <row r="32" ht="16.5" spans="1:10">
      <c r="A32" s="11"/>
      <c r="B32" s="5" t="s">
        <v>59</v>
      </c>
      <c r="C32" s="6"/>
      <c r="D32" s="7">
        <v>3</v>
      </c>
      <c r="E32" s="13">
        <v>300000</v>
      </c>
      <c r="F32" s="13">
        <f>E32*D32</f>
        <v>900000</v>
      </c>
      <c r="G32" s="14"/>
      <c r="H32" s="5" t="s">
        <v>27</v>
      </c>
      <c r="I32" s="16" t="s">
        <v>25</v>
      </c>
      <c r="J32" s="16" t="s">
        <v>14</v>
      </c>
    </row>
    <row r="33" ht="12.75" spans="6:6">
      <c r="F33" s="15">
        <f>SUM(F2:F32)</f>
        <v>66460000</v>
      </c>
    </row>
  </sheetData>
  <mergeCells count="7">
    <mergeCell ref="A2:A7"/>
    <mergeCell ref="A8:A19"/>
    <mergeCell ref="A20:A22"/>
    <mergeCell ref="A23:A28"/>
    <mergeCell ref="A29:A30"/>
    <mergeCell ref="A31:A32"/>
    <mergeCell ref="D20:D22"/>
  </mergeCells>
  <dataValidations count="2">
    <dataValidation type="list" allowBlank="1" showErrorMessage="1" sqref="J2:J32">
      <formula1>"To do,Done"</formula1>
    </dataValidation>
    <dataValidation type="list" allowBlank="1" showErrorMessage="1" sqref="I2:I32">
      <formula1>"Hiệp Đức,Long Bi,Both,Online"</formula1>
    </dataValidation>
  </dataValidations>
  <hyperlinks>
    <hyperlink ref="C3" r:id="rId1" display="https://vn.shp.ee/MER3pzF6&#10;&#10;https://www.facebook.com/phinhpoker.hanoi.giare/photos "/>
    <hyperlink ref="C4" r:id="rId1" display="https://vn.shp.ee/MER3pzF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Vật dụng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</cp:lastModifiedBy>
  <dcterms:created xsi:type="dcterms:W3CDTF">2026-06-14T22:48:33Z</dcterms:created>
  <dcterms:modified xsi:type="dcterms:W3CDTF">2026-06-14T22:49:08Z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